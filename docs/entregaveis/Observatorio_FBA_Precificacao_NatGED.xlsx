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Nuvem" sheetId="3" state="visible" r:id="rId5"/>
    <sheet name="Componentes" sheetId="4" state="visible" r:id="rId6"/>
    <sheet name="Equipe" sheetId="5" state="visible" r:id="rId7"/>
    <sheet name="Pagamento" sheetId="6" state="visible" r:id="rId8"/>
    <sheet name="Opciona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Estimativa de mercado para pentest web por empresa terceira; cotar com fornecedor.</t>
        </r>
      </text>
    </comment>
  </commentList>
</comments>
</file>

<file path=xl/sharedStrings.xml><?xml version="1.0" encoding="utf-8"?>
<sst xmlns="http://schemas.openxmlformats.org/spreadsheetml/2006/main" count="183" uniqueCount="163">
  <si>
    <t xml:space="preserve">Observatório FBA — Resumo da proposta NatGED</t>
  </si>
  <si>
    <t xml:space="preserve">Preço de referência. Todos os valores são calculados a partir das abas Premissas, Componentes e Nuvem.</t>
  </si>
  <si>
    <t xml:space="preserve">Grupo</t>
  </si>
  <si>
    <t xml:space="preserve">Valor (R$)</t>
  </si>
  <si>
    <t xml:space="preserve">Desenvolvimento e implantação (itens 1–17)</t>
  </si>
  <si>
    <t xml:space="preserve">Operação (itens 18–20)</t>
  </si>
  <si>
    <t xml:space="preserve">TOTAL</t>
  </si>
  <si>
    <t xml:space="preserve">Horas totais (1–17)</t>
  </si>
  <si>
    <t xml:space="preserve">Mensalidade de operação</t>
  </si>
  <si>
    <t xml:space="preserve">Meses de operação</t>
  </si>
  <si>
    <t xml:space="preserve">Cenário: operação com 18 meses (contagem desde a assinatura)</t>
  </si>
  <si>
    <t xml:space="preserve">Cenário: total com operação de 18 meses</t>
  </si>
  <si>
    <t xml:space="preserve">Legenda: azul com fundo amarelo = entrada editável · verde = referência a outra aba · preto = fórmula.</t>
  </si>
  <si>
    <t xml:space="preserve">Observatório FBA — Premissas de preço (NatGED)</t>
  </si>
  <si>
    <t xml:space="preserve">Células em azul com fundo amarelo são editáveis; todas as demais abas recalculam a partir delas.</t>
  </si>
  <si>
    <t xml:space="preserve">Premissa</t>
  </si>
  <si>
    <t xml:space="preserve">Valor</t>
  </si>
  <si>
    <t xml:space="preserve">Unidade</t>
  </si>
  <si>
    <t xml:space="preserve">Fonte / observação</t>
  </si>
  <si>
    <t xml:space="preserve">Valor-hora (blended)</t>
  </si>
  <si>
    <t xml:space="preserve">R$/h</t>
  </si>
  <si>
    <t xml:space="preserve">Informado pela NatGED</t>
  </si>
  <si>
    <t xml:space="preserve">Gestão de projeto sobre horas de execução</t>
  </si>
  <si>
    <t xml:space="preserve">%</t>
  </si>
  <si>
    <t xml:space="preserve">Estimativa NatGED — distribuída nos componentes 1–17</t>
  </si>
  <si>
    <t xml:space="preserve">Infraestrutura de homologação durante o desenvolvimento</t>
  </si>
  <si>
    <t xml:space="preserve">R$</t>
  </si>
  <si>
    <t xml:space="preserve">~R$ 1.000/mês × 6 meses; somada ao componente 17</t>
  </si>
  <si>
    <t xml:space="preserve">Meses de operação (itens 18–20)</t>
  </si>
  <si>
    <t xml:space="preserve">meses</t>
  </si>
  <si>
    <t xml:space="preserve">TR §15; usar 18 se a contagem for desde a assinatura (TR §17)</t>
  </si>
  <si>
    <t xml:space="preserve">Horas técnicas mensais de backup e segurança</t>
  </si>
  <si>
    <t xml:space="preserve">h/mês</t>
  </si>
  <si>
    <t xml:space="preserve">Patches, varreduras, testes de restauração</t>
  </si>
  <si>
    <t xml:space="preserve">Ferramentas de backup/monitoramento</t>
  </si>
  <si>
    <t xml:space="preserve">R$/mês</t>
  </si>
  <si>
    <t xml:space="preserve">Storage de backup em região separada + monitor</t>
  </si>
  <si>
    <t xml:space="preserve">Franquia mensal de suporte e manutenção</t>
  </si>
  <si>
    <t xml:space="preserve">Horas não usadas acumulam no trimestre</t>
  </si>
  <si>
    <t xml:space="preserve">Alíquota de tributos a adicionar (se valor-hora for líquido)</t>
  </si>
  <si>
    <t xml:space="preserve">0% = valor-hora já inclui tributos. Ajustar conforme regime tributário</t>
  </si>
  <si>
    <t xml:space="preserve">Composição do item 18 — Hospedagem cloud (mensal)</t>
  </si>
  <si>
    <t xml:space="preserve">Estimativas a validar na calculadora do provedor (AWS região São Paulo). Valores em R$, câmbio embutido.</t>
  </si>
  <si>
    <t xml:space="preserve">Serviço</t>
  </si>
  <si>
    <t xml:space="preserve">Fornecedor</t>
  </si>
  <si>
    <t xml:space="preserve">Observação</t>
  </si>
  <si>
    <t xml:space="preserve">Computação (2 apps + worker), PostgreSQL gerenciado, Redis, storage, balanceador — produção e homologação</t>
  </si>
  <si>
    <t xml:space="preserve">AWS (sa-east-1) ou equivalente</t>
  </si>
  <si>
    <t xml:space="preserve">Estimativa NatGED</t>
  </si>
  <si>
    <t xml:space="preserve">CDN / WAF</t>
  </si>
  <si>
    <t xml:space="preserve">Cloudflare</t>
  </si>
  <si>
    <t xml:space="preserve">Plano Pro; plano gratuito possível</t>
  </si>
  <si>
    <t xml:space="preserve">E-mail transacional (até 10 mil envios/mês)</t>
  </si>
  <si>
    <t xml:space="preserve">Amazon SES / Brevo</t>
  </si>
  <si>
    <t xml:space="preserve">Mapas (tiles) e geocodificação</t>
  </si>
  <si>
    <t xml:space="preserve">OpenStreetMap / Nominatim</t>
  </si>
  <si>
    <t xml:space="preserve">Sem custo</t>
  </si>
  <si>
    <t xml:space="preserve">Certificado SSL</t>
  </si>
  <si>
    <t xml:space="preserve">Let's Encrypt / ACM</t>
  </si>
  <si>
    <t xml:space="preserve">Total mensal — item 18</t>
  </si>
  <si>
    <t xml:space="preserve">Proposta de preços — estrutura do TR §15</t>
  </si>
  <si>
    <t xml:space="preserve">Edite as horas-base (azul). Horas c/ gestão = horas-base × (1 + % gestão), arredondado.</t>
  </si>
  <si>
    <t xml:space="preserve">Nº</t>
  </si>
  <si>
    <t xml:space="preserve">Componente</t>
  </si>
  <si>
    <t xml:space="preserve">Horas-base</t>
  </si>
  <si>
    <t xml:space="preserve">Horas c/ gestão</t>
  </si>
  <si>
    <t xml:space="preserve">Custos adicionais (R$)</t>
  </si>
  <si>
    <t xml:space="preserve">Levantamento e arquitetura da informação</t>
  </si>
  <si>
    <t xml:space="preserve">UX/UI e protótipo</t>
  </si>
  <si>
    <t xml:space="preserve">Desenvolvimento do portal público</t>
  </si>
  <si>
    <t xml:space="preserve">Inclui CMS</t>
  </si>
  <si>
    <t xml:space="preserve">Área restrita das organizações</t>
  </si>
  <si>
    <t xml:space="preserve">Inclui cadastro de organizações e evidências</t>
  </si>
  <si>
    <t xml:space="preserve">Painel administrativo</t>
  </si>
  <si>
    <t xml:space="preserve">Inclui workflow, notificações, usuários e parâmetros</t>
  </si>
  <si>
    <t xml:space="preserve">Banco de dados</t>
  </si>
  <si>
    <t xml:space="preserve">Módulo de projetos e eventos</t>
  </si>
  <si>
    <t xml:space="preserve">Inclui atividades, capacitações e mobilidade</t>
  </si>
  <si>
    <t xml:space="preserve">Calendário</t>
  </si>
  <si>
    <t xml:space="preserve">Mapa e georreferenciamento</t>
  </si>
  <si>
    <t xml:space="preserve">Indicadores e dashboards</t>
  </si>
  <si>
    <t xml:space="preserve">Relatórios e exportações</t>
  </si>
  <si>
    <t xml:space="preserve">Inclui API</t>
  </si>
  <si>
    <t xml:space="preserve">Formulários e pesquisas</t>
  </si>
  <si>
    <t xml:space="preserve">LGPD, segurança e logs</t>
  </si>
  <si>
    <t xml:space="preserve">Acessibilidade digital</t>
  </si>
  <si>
    <t xml:space="preserve">Testes e homologação</t>
  </si>
  <si>
    <t xml:space="preserve">Documentação e treinamento</t>
  </si>
  <si>
    <t xml:space="preserve">Implantação</t>
  </si>
  <si>
    <t xml:space="preserve">Custo adicional = infraestrutura de homologação no desenvolvimento</t>
  </si>
  <si>
    <t xml:space="preserve">Subtotal — desenvolvimento e implantação (1–17)</t>
  </si>
  <si>
    <t xml:space="preserve">Base mensal</t>
  </si>
  <si>
    <t xml:space="preserve">Meses</t>
  </si>
  <si>
    <t xml:space="preserve">Valor mensal (R$)</t>
  </si>
  <si>
    <t xml:space="preserve">Valor total (R$)</t>
  </si>
  <si>
    <t xml:space="preserve">Composição</t>
  </si>
  <si>
    <t xml:space="preserve">Hospedagem cloud — operação</t>
  </si>
  <si>
    <t xml:space="preserve">Ver aba Nuvem</t>
  </si>
  <si>
    <t xml:space="preserve">Backup e segurança — operação</t>
  </si>
  <si>
    <t xml:space="preserve">Horas/mês × valor-hora + ferramentas</t>
  </si>
  <si>
    <t xml:space="preserve">Suporte e manutenção — operação</t>
  </si>
  <si>
    <t xml:space="preserve">Franquia h/mês × valor-hora</t>
  </si>
  <si>
    <t xml:space="preserve">Subtotal — operação (18–20)</t>
  </si>
  <si>
    <t xml:space="preserve">TOTAL GERAL</t>
  </si>
  <si>
    <t xml:space="preserve">Alocação da equipe</t>
  </si>
  <si>
    <t xml:space="preserve">Distribuição das horas por papel. A diferença deve ser zero.</t>
  </si>
  <si>
    <t xml:space="preserve">Papel</t>
  </si>
  <si>
    <t xml:space="preserve">Horas</t>
  </si>
  <si>
    <t xml:space="preserve">% do total</t>
  </si>
  <si>
    <t xml:space="preserve">Gerente de projeto</t>
  </si>
  <si>
    <t xml:space="preserve">Tech lead / arquiteto</t>
  </si>
  <si>
    <t xml:space="preserve">Desenvolvedores full-stack (2)</t>
  </si>
  <si>
    <t xml:space="preserve">Designer UX/UI</t>
  </si>
  <si>
    <t xml:space="preserve">QA e acessibilidade</t>
  </si>
  <si>
    <t xml:space="preserve">DevOps / infraestrutura</t>
  </si>
  <si>
    <t xml:space="preserve">Total alocado</t>
  </si>
  <si>
    <t xml:space="preserve">Horas dos componentes 1–17</t>
  </si>
  <si>
    <t xml:space="preserve">Diferença (alocado − componentes)</t>
  </si>
  <si>
    <t xml:space="preserve">Condições de pagamento — desenvolvimento por marcos</t>
  </si>
  <si>
    <t xml:space="preserve">Percentuais editáveis; a soma deve ser 100%.</t>
  </si>
  <si>
    <t xml:space="preserve">Marco</t>
  </si>
  <si>
    <t xml:space="preserve">Semana</t>
  </si>
  <si>
    <t xml:space="preserve">Assinatura do contrato</t>
  </si>
  <si>
    <t xml:space="preserve">0</t>
  </si>
  <si>
    <t xml:space="preserve">Aceite dos requisitos e homologação do protótipo</t>
  </si>
  <si>
    <t xml:space="preserve">8</t>
  </si>
  <si>
    <t xml:space="preserve">Entrega da versão base</t>
  </si>
  <si>
    <t xml:space="preserve">15</t>
  </si>
  <si>
    <t xml:space="preserve">Entrega funcional completa</t>
  </si>
  <si>
    <t xml:space="preserve">20</t>
  </si>
  <si>
    <t xml:space="preserve">Versão homologável aceita</t>
  </si>
  <si>
    <t xml:space="preserve">22</t>
  </si>
  <si>
    <t xml:space="preserve">Aceite definitivo</t>
  </si>
  <si>
    <t xml:space="preserve">24</t>
  </si>
  <si>
    <t xml:space="preserve">Total</t>
  </si>
  <si>
    <t xml:space="preserve">Operação — mensalidade a partir da implantação</t>
  </si>
  <si>
    <t xml:space="preserve">Serviços opcionais (fora do total)</t>
  </si>
  <si>
    <t xml:space="preserve">Cotação separada conforme TR §15.</t>
  </si>
  <si>
    <t xml:space="preserve">ID</t>
  </si>
  <si>
    <t xml:space="preserve">Terceiros (R$)</t>
  </si>
  <si>
    <t xml:space="preserve">Recorrente</t>
  </si>
  <si>
    <t xml:space="preserve">O-01</t>
  </si>
  <si>
    <t xml:space="preserve">Construtor de indicadores</t>
  </si>
  <si>
    <t xml:space="preserve">—</t>
  </si>
  <si>
    <t xml:space="preserve">O-02</t>
  </si>
  <si>
    <t xml:space="preserve">BI avançado (Metabase embarcado)</t>
  </si>
  <si>
    <t xml:space="preserve">+ R$ 300/mês infraestrutura</t>
  </si>
  <si>
    <t xml:space="preserve">O-03</t>
  </si>
  <si>
    <t xml:space="preserve">Pentest independente + correções</t>
  </si>
  <si>
    <t xml:space="preserve">O-04</t>
  </si>
  <si>
    <t xml:space="preserve">Notificações por WhatsApp</t>
  </si>
  <si>
    <t xml:space="preserve">+ tarifas Meta por conversa</t>
  </si>
  <si>
    <t xml:space="preserve">O-05</t>
  </si>
  <si>
    <t xml:space="preserve">Migração de dados legados</t>
  </si>
  <si>
    <t xml:space="preserve">Sob demanda — R$/h</t>
  </si>
  <si>
    <t xml:space="preserve">O-06</t>
  </si>
  <si>
    <t xml:space="preserve">Login Gov.br</t>
  </si>
  <si>
    <t xml:space="preserve">O-07</t>
  </si>
  <si>
    <t xml:space="preserve">PWA com preenchimento offline</t>
  </si>
  <si>
    <t xml:space="preserve">O-08</t>
  </si>
  <si>
    <t xml:space="preserve">Treinamento adicional (por turma de 3 h)</t>
  </si>
  <si>
    <t xml:space="preserve">O-09</t>
  </si>
  <si>
    <t xml:space="preserve">Banco de horas evolutivas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</si>
</sst>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&quot;(R$ &quot;#,##0.00\);\-"/>
    <numFmt numFmtId="166" formatCode="#,##0;\(#,##0\);\-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Componentes!$F$22</f>
        <v>482480</v>
      </c>
    </row>
    <row r="6" customFormat="false" ht="15" hidden="false" customHeight="false" outlineLevel="0" collapsed="false">
      <c r="A6" s="4" t="s">
        <v>5</v>
      </c>
      <c r="B6" s="5" t="n">
        <f aca="false">Componentes!$F$28</f>
        <v>132000</v>
      </c>
    </row>
    <row r="7" customFormat="false" ht="15" hidden="false" customHeight="false" outlineLevel="0" collapsed="false">
      <c r="A7" s="6" t="s">
        <v>6</v>
      </c>
      <c r="B7" s="7" t="n">
        <f aca="false">B5+B6</f>
        <v>614480</v>
      </c>
    </row>
    <row r="9" customFormat="false" ht="15" hidden="false" customHeight="false" outlineLevel="0" collapsed="false">
      <c r="A9" s="4" t="s">
        <v>7</v>
      </c>
      <c r="B9" s="8" t="n">
        <f aca="false">Componentes!$D$22</f>
        <v>2978</v>
      </c>
    </row>
    <row r="10" customFormat="false" ht="15" hidden="false" customHeight="false" outlineLevel="0" collapsed="false">
      <c r="A10" s="4" t="s">
        <v>8</v>
      </c>
      <c r="B10" s="5" t="n">
        <f aca="false">Componentes!$E$28</f>
        <v>5500</v>
      </c>
    </row>
    <row r="11" customFormat="false" ht="15" hidden="false" customHeight="false" outlineLevel="0" collapsed="false">
      <c r="A11" s="4" t="s">
        <v>9</v>
      </c>
      <c r="B11" s="8" t="n">
        <f aca="false">Premissas!$B$8</f>
        <v>24</v>
      </c>
    </row>
    <row r="12" customFormat="false" ht="15" hidden="false" customHeight="false" outlineLevel="0" collapsed="false">
      <c r="A12" s="4" t="s">
        <v>10</v>
      </c>
      <c r="B12" s="9" t="n">
        <f aca="false">B10*18</f>
        <v>99000</v>
      </c>
    </row>
    <row r="13" customFormat="false" ht="15" hidden="false" customHeight="false" outlineLevel="0" collapsed="false">
      <c r="A13" s="4" t="s">
        <v>11</v>
      </c>
      <c r="B13" s="9" t="n">
        <f aca="false">B5+B12</f>
        <v>581480</v>
      </c>
    </row>
    <row r="15" customFormat="false" ht="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</row>
    <row r="5" customFormat="false" ht="15" hidden="false" customHeight="false" outlineLevel="0" collapsed="false">
      <c r="A5" s="4" t="s">
        <v>19</v>
      </c>
      <c r="B5" s="10" t="n">
        <v>160</v>
      </c>
      <c r="C5" s="4" t="s">
        <v>20</v>
      </c>
      <c r="D5" s="4" t="s">
        <v>21</v>
      </c>
    </row>
    <row r="6" customFormat="false" ht="15" hidden="false" customHeight="false" outlineLevel="0" collapsed="false">
      <c r="A6" s="4" t="s">
        <v>22</v>
      </c>
      <c r="B6" s="11" t="n">
        <v>0.12</v>
      </c>
      <c r="C6" s="4" t="s">
        <v>23</v>
      </c>
      <c r="D6" s="4" t="s">
        <v>24</v>
      </c>
    </row>
    <row r="7" customFormat="false" ht="15" hidden="false" customHeight="false" outlineLevel="0" collapsed="false">
      <c r="A7" s="4" t="s">
        <v>25</v>
      </c>
      <c r="B7" s="10" t="n">
        <v>6000</v>
      </c>
      <c r="C7" s="4" t="s">
        <v>26</v>
      </c>
      <c r="D7" s="4" t="s">
        <v>27</v>
      </c>
    </row>
    <row r="8" customFormat="false" ht="15" hidden="false" customHeight="false" outlineLevel="0" collapsed="false">
      <c r="A8" s="4" t="s">
        <v>28</v>
      </c>
      <c r="B8" s="12" t="n">
        <v>24</v>
      </c>
      <c r="C8" s="4" t="s">
        <v>29</v>
      </c>
      <c r="D8" s="4" t="s">
        <v>30</v>
      </c>
    </row>
    <row r="9" customFormat="false" ht="15" hidden="false" customHeight="false" outlineLevel="0" collapsed="false">
      <c r="A9" s="4" t="s">
        <v>31</v>
      </c>
      <c r="B9" s="12" t="n">
        <v>4</v>
      </c>
      <c r="C9" s="4" t="s">
        <v>32</v>
      </c>
      <c r="D9" s="4" t="s">
        <v>33</v>
      </c>
    </row>
    <row r="10" customFormat="false" ht="15" hidden="false" customHeight="false" outlineLevel="0" collapsed="false">
      <c r="A10" s="4" t="s">
        <v>34</v>
      </c>
      <c r="B10" s="10" t="n">
        <v>160</v>
      </c>
      <c r="C10" s="4" t="s">
        <v>35</v>
      </c>
      <c r="D10" s="4" t="s">
        <v>36</v>
      </c>
    </row>
    <row r="11" customFormat="false" ht="15" hidden="false" customHeight="false" outlineLevel="0" collapsed="false">
      <c r="A11" s="4" t="s">
        <v>37</v>
      </c>
      <c r="B11" s="12" t="n">
        <v>20</v>
      </c>
      <c r="C11" s="4" t="s">
        <v>32</v>
      </c>
      <c r="D11" s="4" t="s">
        <v>38</v>
      </c>
    </row>
    <row r="12" customFormat="false" ht="15" hidden="false" customHeight="false" outlineLevel="0" collapsed="false">
      <c r="A12" s="4" t="s">
        <v>39</v>
      </c>
      <c r="B12" s="11" t="n">
        <v>0</v>
      </c>
      <c r="C12" s="4" t="s">
        <v>23</v>
      </c>
      <c r="D12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43</v>
      </c>
      <c r="B4" s="3" t="s">
        <v>44</v>
      </c>
      <c r="C4" s="3" t="s">
        <v>35</v>
      </c>
      <c r="D4" s="3" t="s">
        <v>45</v>
      </c>
    </row>
    <row r="5" customFormat="false" ht="26.85" hidden="false" customHeight="false" outlineLevel="0" collapsed="false">
      <c r="A5" s="13" t="s">
        <v>46</v>
      </c>
      <c r="B5" s="4" t="s">
        <v>47</v>
      </c>
      <c r="C5" s="10" t="n">
        <v>1300</v>
      </c>
      <c r="D5" s="4" t="s">
        <v>48</v>
      </c>
    </row>
    <row r="6" customFormat="false" ht="15" hidden="false" customHeight="false" outlineLevel="0" collapsed="false">
      <c r="A6" s="13" t="s">
        <v>49</v>
      </c>
      <c r="B6" s="4" t="s">
        <v>50</v>
      </c>
      <c r="C6" s="10" t="n">
        <v>120</v>
      </c>
      <c r="D6" s="4" t="s">
        <v>51</v>
      </c>
    </row>
    <row r="7" customFormat="false" ht="15" hidden="false" customHeight="false" outlineLevel="0" collapsed="false">
      <c r="A7" s="13" t="s">
        <v>52</v>
      </c>
      <c r="B7" s="4" t="s">
        <v>53</v>
      </c>
      <c r="C7" s="10" t="n">
        <v>80</v>
      </c>
      <c r="D7" s="4" t="s">
        <v>48</v>
      </c>
    </row>
    <row r="8" customFormat="false" ht="15" hidden="false" customHeight="false" outlineLevel="0" collapsed="false">
      <c r="A8" s="13" t="s">
        <v>54</v>
      </c>
      <c r="B8" s="4" t="s">
        <v>55</v>
      </c>
      <c r="C8" s="10" t="n">
        <v>0</v>
      </c>
      <c r="D8" s="4" t="s">
        <v>56</v>
      </c>
    </row>
    <row r="9" customFormat="false" ht="15" hidden="false" customHeight="false" outlineLevel="0" collapsed="false">
      <c r="A9" s="13" t="s">
        <v>57</v>
      </c>
      <c r="B9" s="4" t="s">
        <v>58</v>
      </c>
      <c r="C9" s="10" t="n">
        <v>0</v>
      </c>
      <c r="D9" s="4" t="s">
        <v>56</v>
      </c>
    </row>
    <row r="10" customFormat="false" ht="15" hidden="false" customHeight="false" outlineLevel="0" collapsed="false">
      <c r="A10" s="14" t="s">
        <v>59</v>
      </c>
      <c r="B10" s="15"/>
      <c r="C10" s="16" t="n">
        <f aca="false">SUM(C5:C9)</f>
        <v>1500</v>
      </c>
      <c r="D1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20"/>
    <col collapsed="false" customWidth="true" hidden="false" outlineLevel="0" max="7" min="7" style="0" width="58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3</v>
      </c>
      <c r="G4" s="3" t="s">
        <v>45</v>
      </c>
    </row>
    <row r="5" customFormat="false" ht="15" hidden="false" customHeight="false" outlineLevel="0" collapsed="false">
      <c r="A5" s="4" t="n">
        <v>1</v>
      </c>
      <c r="B5" s="4" t="s">
        <v>67</v>
      </c>
      <c r="C5" s="12" t="n">
        <v>120</v>
      </c>
      <c r="D5" s="17" t="n">
        <f aca="false">ROUND(C5*(1+Premissas!$B$6),0)</f>
        <v>134</v>
      </c>
      <c r="E5" s="18" t="n">
        <v>0</v>
      </c>
      <c r="F5" s="9" t="n">
        <f aca="false">(D5*Premissas!$B$5+E5)*(1+Premissas!$B$12)</f>
        <v>21440</v>
      </c>
      <c r="G5" s="4"/>
    </row>
    <row r="6" customFormat="false" ht="15" hidden="false" customHeight="false" outlineLevel="0" collapsed="false">
      <c r="A6" s="4" t="n">
        <v>2</v>
      </c>
      <c r="B6" s="4" t="s">
        <v>68</v>
      </c>
      <c r="C6" s="12" t="n">
        <v>240</v>
      </c>
      <c r="D6" s="17" t="n">
        <f aca="false">ROUND(C6*(1+Premissas!$B$6),0)</f>
        <v>269</v>
      </c>
      <c r="E6" s="18" t="n">
        <v>0</v>
      </c>
      <c r="F6" s="9" t="n">
        <f aca="false">(D6*Premissas!$B$5+E6)*(1+Premissas!$B$12)</f>
        <v>43040</v>
      </c>
      <c r="G6" s="4"/>
    </row>
    <row r="7" customFormat="false" ht="15" hidden="false" customHeight="false" outlineLevel="0" collapsed="false">
      <c r="A7" s="4" t="n">
        <v>3</v>
      </c>
      <c r="B7" s="4" t="s">
        <v>69</v>
      </c>
      <c r="C7" s="12" t="n">
        <v>200</v>
      </c>
      <c r="D7" s="17" t="n">
        <f aca="false">ROUND(C7*(1+Premissas!$B$6),0)</f>
        <v>224</v>
      </c>
      <c r="E7" s="18" t="n">
        <v>0</v>
      </c>
      <c r="F7" s="9" t="n">
        <f aca="false">(D7*Premissas!$B$5+E7)*(1+Premissas!$B$12)</f>
        <v>35840</v>
      </c>
      <c r="G7" s="4" t="s">
        <v>70</v>
      </c>
    </row>
    <row r="8" customFormat="false" ht="15" hidden="false" customHeight="false" outlineLevel="0" collapsed="false">
      <c r="A8" s="4" t="n">
        <v>4</v>
      </c>
      <c r="B8" s="4" t="s">
        <v>71</v>
      </c>
      <c r="C8" s="12" t="n">
        <v>220</v>
      </c>
      <c r="D8" s="17" t="n">
        <f aca="false">ROUND(C8*(1+Premissas!$B$6),0)</f>
        <v>246</v>
      </c>
      <c r="E8" s="18" t="n">
        <v>0</v>
      </c>
      <c r="F8" s="9" t="n">
        <f aca="false">(D8*Premissas!$B$5+E8)*(1+Premissas!$B$12)</f>
        <v>39360</v>
      </c>
      <c r="G8" s="4" t="s">
        <v>72</v>
      </c>
    </row>
    <row r="9" customFormat="false" ht="15" hidden="false" customHeight="false" outlineLevel="0" collapsed="false">
      <c r="A9" s="4" t="n">
        <v>5</v>
      </c>
      <c r="B9" s="4" t="s">
        <v>73</v>
      </c>
      <c r="C9" s="12" t="n">
        <v>220</v>
      </c>
      <c r="D9" s="17" t="n">
        <f aca="false">ROUND(C9*(1+Premissas!$B$6),0)</f>
        <v>246</v>
      </c>
      <c r="E9" s="18" t="n">
        <v>0</v>
      </c>
      <c r="F9" s="9" t="n">
        <f aca="false">(D9*Premissas!$B$5+E9)*(1+Premissas!$B$12)</f>
        <v>39360</v>
      </c>
      <c r="G9" s="4" t="s">
        <v>74</v>
      </c>
    </row>
    <row r="10" customFormat="false" ht="15" hidden="false" customHeight="false" outlineLevel="0" collapsed="false">
      <c r="A10" s="4" t="n">
        <v>6</v>
      </c>
      <c r="B10" s="4" t="s">
        <v>75</v>
      </c>
      <c r="C10" s="12" t="n">
        <v>80</v>
      </c>
      <c r="D10" s="17" t="n">
        <f aca="false">ROUND(C10*(1+Premissas!$B$6),0)</f>
        <v>90</v>
      </c>
      <c r="E10" s="18" t="n">
        <v>0</v>
      </c>
      <c r="F10" s="9" t="n">
        <f aca="false">(D10*Premissas!$B$5+E10)*(1+Premissas!$B$12)</f>
        <v>14400</v>
      </c>
      <c r="G10" s="4"/>
    </row>
    <row r="11" customFormat="false" ht="15" hidden="false" customHeight="false" outlineLevel="0" collapsed="false">
      <c r="A11" s="4" t="n">
        <v>7</v>
      </c>
      <c r="B11" s="4" t="s">
        <v>76</v>
      </c>
      <c r="C11" s="12" t="n">
        <v>200</v>
      </c>
      <c r="D11" s="17" t="n">
        <f aca="false">ROUND(C11*(1+Premissas!$B$6),0)</f>
        <v>224</v>
      </c>
      <c r="E11" s="18" t="n">
        <v>0</v>
      </c>
      <c r="F11" s="9" t="n">
        <f aca="false">(D11*Premissas!$B$5+E11)*(1+Premissas!$B$12)</f>
        <v>35840</v>
      </c>
      <c r="G11" s="4" t="s">
        <v>77</v>
      </c>
    </row>
    <row r="12" customFormat="false" ht="15" hidden="false" customHeight="false" outlineLevel="0" collapsed="false">
      <c r="A12" s="4" t="n">
        <v>8</v>
      </c>
      <c r="B12" s="4" t="s">
        <v>78</v>
      </c>
      <c r="C12" s="12" t="n">
        <v>60</v>
      </c>
      <c r="D12" s="17" t="n">
        <f aca="false">ROUND(C12*(1+Premissas!$B$6),0)</f>
        <v>67</v>
      </c>
      <c r="E12" s="18" t="n">
        <v>0</v>
      </c>
      <c r="F12" s="9" t="n">
        <f aca="false">(D12*Premissas!$B$5+E12)*(1+Premissas!$B$12)</f>
        <v>10720</v>
      </c>
      <c r="G12" s="4"/>
    </row>
    <row r="13" customFormat="false" ht="15" hidden="false" customHeight="false" outlineLevel="0" collapsed="false">
      <c r="A13" s="4" t="n">
        <v>9</v>
      </c>
      <c r="B13" s="4" t="s">
        <v>79</v>
      </c>
      <c r="C13" s="12" t="n">
        <v>100</v>
      </c>
      <c r="D13" s="17" t="n">
        <f aca="false">ROUND(C13*(1+Premissas!$B$6),0)</f>
        <v>112</v>
      </c>
      <c r="E13" s="18" t="n">
        <v>0</v>
      </c>
      <c r="F13" s="9" t="n">
        <f aca="false">(D13*Premissas!$B$5+E13)*(1+Premissas!$B$12)</f>
        <v>17920</v>
      </c>
      <c r="G13" s="4"/>
    </row>
    <row r="14" customFormat="false" ht="15" hidden="false" customHeight="false" outlineLevel="0" collapsed="false">
      <c r="A14" s="4" t="n">
        <v>10</v>
      </c>
      <c r="B14" s="4" t="s">
        <v>80</v>
      </c>
      <c r="C14" s="12" t="n">
        <v>200</v>
      </c>
      <c r="D14" s="17" t="n">
        <f aca="false">ROUND(C14*(1+Premissas!$B$6),0)</f>
        <v>224</v>
      </c>
      <c r="E14" s="18" t="n">
        <v>0</v>
      </c>
      <c r="F14" s="9" t="n">
        <f aca="false">(D14*Premissas!$B$5+E14)*(1+Premissas!$B$12)</f>
        <v>35840</v>
      </c>
      <c r="G14" s="4"/>
    </row>
    <row r="15" customFormat="false" ht="15" hidden="false" customHeight="false" outlineLevel="0" collapsed="false">
      <c r="A15" s="4" t="n">
        <v>11</v>
      </c>
      <c r="B15" s="4" t="s">
        <v>81</v>
      </c>
      <c r="C15" s="12" t="n">
        <v>160</v>
      </c>
      <c r="D15" s="17" t="n">
        <f aca="false">ROUND(C15*(1+Premissas!$B$6),0)</f>
        <v>179</v>
      </c>
      <c r="E15" s="18" t="n">
        <v>0</v>
      </c>
      <c r="F15" s="9" t="n">
        <f aca="false">(D15*Premissas!$B$5+E15)*(1+Premissas!$B$12)</f>
        <v>28640</v>
      </c>
      <c r="G15" s="4" t="s">
        <v>82</v>
      </c>
    </row>
    <row r="16" customFormat="false" ht="15" hidden="false" customHeight="false" outlineLevel="0" collapsed="false">
      <c r="A16" s="4" t="n">
        <v>12</v>
      </c>
      <c r="B16" s="4" t="s">
        <v>83</v>
      </c>
      <c r="C16" s="12" t="n">
        <v>240</v>
      </c>
      <c r="D16" s="17" t="n">
        <f aca="false">ROUND(C16*(1+Premissas!$B$6),0)</f>
        <v>269</v>
      </c>
      <c r="E16" s="18" t="n">
        <v>0</v>
      </c>
      <c r="F16" s="9" t="n">
        <f aca="false">(D16*Premissas!$B$5+E16)*(1+Premissas!$B$12)</f>
        <v>43040</v>
      </c>
      <c r="G16" s="4"/>
    </row>
    <row r="17" customFormat="false" ht="15" hidden="false" customHeight="false" outlineLevel="0" collapsed="false">
      <c r="A17" s="4" t="n">
        <v>13</v>
      </c>
      <c r="B17" s="4" t="s">
        <v>84</v>
      </c>
      <c r="C17" s="12" t="n">
        <v>140</v>
      </c>
      <c r="D17" s="17" t="n">
        <f aca="false">ROUND(C17*(1+Premissas!$B$6),0)</f>
        <v>157</v>
      </c>
      <c r="E17" s="18" t="n">
        <v>0</v>
      </c>
      <c r="F17" s="9" t="n">
        <f aca="false">(D17*Premissas!$B$5+E17)*(1+Premissas!$B$12)</f>
        <v>25120</v>
      </c>
      <c r="G17" s="4"/>
    </row>
    <row r="18" customFormat="false" ht="15" hidden="false" customHeight="false" outlineLevel="0" collapsed="false">
      <c r="A18" s="4" t="n">
        <v>14</v>
      </c>
      <c r="B18" s="4" t="s">
        <v>85</v>
      </c>
      <c r="C18" s="12" t="n">
        <v>100</v>
      </c>
      <c r="D18" s="17" t="n">
        <f aca="false">ROUND(C18*(1+Premissas!$B$6),0)</f>
        <v>112</v>
      </c>
      <c r="E18" s="18" t="n">
        <v>0</v>
      </c>
      <c r="F18" s="9" t="n">
        <f aca="false">(D18*Premissas!$B$5+E18)*(1+Premissas!$B$12)</f>
        <v>17920</v>
      </c>
      <c r="G18" s="4"/>
    </row>
    <row r="19" customFormat="false" ht="15" hidden="false" customHeight="false" outlineLevel="0" collapsed="false">
      <c r="A19" s="4" t="n">
        <v>15</v>
      </c>
      <c r="B19" s="4" t="s">
        <v>86</v>
      </c>
      <c r="C19" s="12" t="n">
        <v>200</v>
      </c>
      <c r="D19" s="17" t="n">
        <f aca="false">ROUND(C19*(1+Premissas!$B$6),0)</f>
        <v>224</v>
      </c>
      <c r="E19" s="18" t="n">
        <v>0</v>
      </c>
      <c r="F19" s="9" t="n">
        <f aca="false">(D19*Premissas!$B$5+E19)*(1+Premissas!$B$12)</f>
        <v>35840</v>
      </c>
      <c r="G19" s="4"/>
    </row>
    <row r="20" customFormat="false" ht="15" hidden="false" customHeight="false" outlineLevel="0" collapsed="false">
      <c r="A20" s="4" t="n">
        <v>16</v>
      </c>
      <c r="B20" s="4" t="s">
        <v>87</v>
      </c>
      <c r="C20" s="12" t="n">
        <v>120</v>
      </c>
      <c r="D20" s="17" t="n">
        <f aca="false">ROUND(C20*(1+Premissas!$B$6),0)</f>
        <v>134</v>
      </c>
      <c r="E20" s="18" t="n">
        <v>0</v>
      </c>
      <c r="F20" s="9" t="n">
        <f aca="false">(D20*Premissas!$B$5+E20)*(1+Premissas!$B$12)</f>
        <v>21440</v>
      </c>
      <c r="G20" s="4"/>
    </row>
    <row r="21" customFormat="false" ht="15" hidden="false" customHeight="false" outlineLevel="0" collapsed="false">
      <c r="A21" s="4" t="n">
        <v>17</v>
      </c>
      <c r="B21" s="4" t="s">
        <v>88</v>
      </c>
      <c r="C21" s="12" t="n">
        <v>60</v>
      </c>
      <c r="D21" s="17" t="n">
        <f aca="false">ROUND(C21*(1+Premissas!$B$6),0)</f>
        <v>67</v>
      </c>
      <c r="E21" s="5" t="n">
        <f aca="false">Premissas!$B$7</f>
        <v>6000</v>
      </c>
      <c r="F21" s="9" t="n">
        <f aca="false">(D21*Premissas!$B$5+E21)*(1+Premissas!$B$12)</f>
        <v>16720</v>
      </c>
      <c r="G21" s="4" t="s">
        <v>89</v>
      </c>
    </row>
    <row r="22" customFormat="false" ht="15" hidden="false" customHeight="false" outlineLevel="0" collapsed="false">
      <c r="A22" s="15"/>
      <c r="B22" s="14" t="s">
        <v>90</v>
      </c>
      <c r="C22" s="19" t="n">
        <f aca="false">SUM(C5:C21)</f>
        <v>2660</v>
      </c>
      <c r="D22" s="19" t="n">
        <f aca="false">SUM(D5:D21)</f>
        <v>2978</v>
      </c>
      <c r="E22" s="16" t="n">
        <f aca="false">SUM(E5:E21)</f>
        <v>6000</v>
      </c>
      <c r="F22" s="16" t="n">
        <f aca="false">SUM(F5:F21)</f>
        <v>482480</v>
      </c>
      <c r="G22" s="15"/>
    </row>
    <row r="24" customFormat="false" ht="15" hidden="false" customHeight="false" outlineLevel="0" collapsed="false">
      <c r="A24" s="3" t="s">
        <v>62</v>
      </c>
      <c r="B24" s="3" t="s">
        <v>63</v>
      </c>
      <c r="C24" s="3" t="s">
        <v>91</v>
      </c>
      <c r="D24" s="3" t="s">
        <v>92</v>
      </c>
      <c r="E24" s="3" t="s">
        <v>93</v>
      </c>
      <c r="F24" s="3" t="s">
        <v>94</v>
      </c>
      <c r="G24" s="3" t="s">
        <v>95</v>
      </c>
    </row>
    <row r="25" customFormat="false" ht="15" hidden="false" customHeight="false" outlineLevel="0" collapsed="false">
      <c r="A25" s="4" t="n">
        <v>18</v>
      </c>
      <c r="B25" s="4" t="s">
        <v>96</v>
      </c>
      <c r="C25" s="5" t="n">
        <f aca="false">Nuvem!$C$10</f>
        <v>1500</v>
      </c>
      <c r="D25" s="8" t="n">
        <f aca="false">Premissas!$B$8</f>
        <v>24</v>
      </c>
      <c r="E25" s="9" t="n">
        <f aca="false">(C25)*(1+Premissas!$B$12)</f>
        <v>1500</v>
      </c>
      <c r="F25" s="9" t="n">
        <f aca="false">E25*D25</f>
        <v>36000</v>
      </c>
      <c r="G25" s="4" t="s">
        <v>97</v>
      </c>
    </row>
    <row r="26" customFormat="false" ht="15" hidden="false" customHeight="false" outlineLevel="0" collapsed="false">
      <c r="A26" s="4" t="n">
        <v>19</v>
      </c>
      <c r="B26" s="4" t="s">
        <v>98</v>
      </c>
      <c r="C26" s="8" t="n">
        <f aca="false">Premissas!$B$9</f>
        <v>4</v>
      </c>
      <c r="D26" s="8" t="n">
        <f aca="false">Premissas!$B$8</f>
        <v>24</v>
      </c>
      <c r="E26" s="9" t="n">
        <f aca="false">(C26*Premissas!$B$5+Premissas!$B$10)*(1+Premissas!$B$12)</f>
        <v>800</v>
      </c>
      <c r="F26" s="9" t="n">
        <f aca="false">E26*D26</f>
        <v>19200</v>
      </c>
      <c r="G26" s="4" t="s">
        <v>99</v>
      </c>
    </row>
    <row r="27" customFormat="false" ht="15" hidden="false" customHeight="false" outlineLevel="0" collapsed="false">
      <c r="A27" s="4" t="n">
        <v>20</v>
      </c>
      <c r="B27" s="4" t="s">
        <v>100</v>
      </c>
      <c r="C27" s="8" t="n">
        <f aca="false">Premissas!$B$11</f>
        <v>20</v>
      </c>
      <c r="D27" s="8" t="n">
        <f aca="false">Premissas!$B$8</f>
        <v>24</v>
      </c>
      <c r="E27" s="9" t="n">
        <f aca="false">(C27*Premissas!$B$5)*(1+Premissas!$B$12)</f>
        <v>3200</v>
      </c>
      <c r="F27" s="9" t="n">
        <f aca="false">E27*D27</f>
        <v>76800</v>
      </c>
      <c r="G27" s="4" t="s">
        <v>101</v>
      </c>
    </row>
    <row r="28" customFormat="false" ht="15" hidden="false" customHeight="false" outlineLevel="0" collapsed="false">
      <c r="A28" s="15"/>
      <c r="B28" s="14" t="s">
        <v>102</v>
      </c>
      <c r="C28" s="15"/>
      <c r="D28" s="15"/>
      <c r="E28" s="16" t="n">
        <f aca="false">SUM(E25:E27)</f>
        <v>5500</v>
      </c>
      <c r="F28" s="16" t="n">
        <f aca="false">SUM(F25:F27)</f>
        <v>132000</v>
      </c>
      <c r="G28" s="15"/>
    </row>
    <row r="30" customFormat="false" ht="15" hidden="false" customHeight="false" outlineLevel="0" collapsed="false">
      <c r="B30" s="6" t="s">
        <v>103</v>
      </c>
      <c r="F30" s="7" t="n">
        <f aca="false">F22+F28</f>
        <v>614480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3" t="s">
        <v>106</v>
      </c>
      <c r="B4" s="3" t="s">
        <v>107</v>
      </c>
      <c r="C4" s="3" t="s">
        <v>108</v>
      </c>
      <c r="D4" s="3" t="s">
        <v>3</v>
      </c>
    </row>
    <row r="5" customFormat="false" ht="15" hidden="false" customHeight="false" outlineLevel="0" collapsed="false">
      <c r="A5" s="4" t="s">
        <v>109</v>
      </c>
      <c r="B5" s="12" t="n">
        <v>320</v>
      </c>
      <c r="C5" s="20" t="n">
        <f aca="false">IFERROR(B5/$B$11,0)</f>
        <v>0.107454667562122</v>
      </c>
      <c r="D5" s="9" t="n">
        <f aca="false">B5*Premissas!$B$5</f>
        <v>51200</v>
      </c>
    </row>
    <row r="6" customFormat="false" ht="15" hidden="false" customHeight="false" outlineLevel="0" collapsed="false">
      <c r="A6" s="4" t="s">
        <v>110</v>
      </c>
      <c r="B6" s="12" t="n">
        <v>450</v>
      </c>
      <c r="C6" s="20" t="n">
        <f aca="false">IFERROR(B6/$B$11,0)</f>
        <v>0.151108126259234</v>
      </c>
      <c r="D6" s="9" t="n">
        <f aca="false">B6*Premissas!$B$5</f>
        <v>72000</v>
      </c>
    </row>
    <row r="7" customFormat="false" ht="15" hidden="false" customHeight="false" outlineLevel="0" collapsed="false">
      <c r="A7" s="4" t="s">
        <v>111</v>
      </c>
      <c r="B7" s="12" t="n">
        <v>1400</v>
      </c>
      <c r="C7" s="20" t="n">
        <f aca="false">IFERROR(B7/$B$11,0)</f>
        <v>0.470114170584285</v>
      </c>
      <c r="D7" s="9" t="n">
        <f aca="false">B7*Premissas!$B$5</f>
        <v>224000</v>
      </c>
    </row>
    <row r="8" customFormat="false" ht="15" hidden="false" customHeight="false" outlineLevel="0" collapsed="false">
      <c r="A8" s="4" t="s">
        <v>112</v>
      </c>
      <c r="B8" s="12" t="n">
        <v>350</v>
      </c>
      <c r="C8" s="20" t="n">
        <f aca="false">IFERROR(B8/$B$11,0)</f>
        <v>0.117528542646071</v>
      </c>
      <c r="D8" s="9" t="n">
        <f aca="false">B8*Premissas!$B$5</f>
        <v>56000</v>
      </c>
    </row>
    <row r="9" customFormat="false" ht="15" hidden="false" customHeight="false" outlineLevel="0" collapsed="false">
      <c r="A9" s="4" t="s">
        <v>113</v>
      </c>
      <c r="B9" s="12" t="n">
        <v>300</v>
      </c>
      <c r="C9" s="20" t="n">
        <f aca="false">IFERROR(B9/$B$11,0)</f>
        <v>0.10073875083949</v>
      </c>
      <c r="D9" s="9" t="n">
        <f aca="false">B9*Premissas!$B$5</f>
        <v>48000</v>
      </c>
    </row>
    <row r="10" customFormat="false" ht="15" hidden="false" customHeight="false" outlineLevel="0" collapsed="false">
      <c r="A10" s="4" t="s">
        <v>114</v>
      </c>
      <c r="B10" s="12" t="n">
        <v>158</v>
      </c>
      <c r="C10" s="20" t="n">
        <f aca="false">IFERROR(B10/$B$11,0)</f>
        <v>0.0530557421087979</v>
      </c>
      <c r="D10" s="9" t="n">
        <f aca="false">B10*Premissas!$B$5</f>
        <v>25280</v>
      </c>
    </row>
    <row r="11" customFormat="false" ht="15" hidden="false" customHeight="false" outlineLevel="0" collapsed="false">
      <c r="A11" s="14" t="s">
        <v>115</v>
      </c>
      <c r="B11" s="19" t="n">
        <f aca="false">SUM(B5:B10)</f>
        <v>2978</v>
      </c>
      <c r="C11" s="21" t="n">
        <f aca="false">SUM(C5:C10)</f>
        <v>1</v>
      </c>
      <c r="D11" s="16" t="n">
        <f aca="false">SUM(D5:D10)</f>
        <v>476480</v>
      </c>
    </row>
    <row r="12" customFormat="false" ht="15" hidden="false" customHeight="false" outlineLevel="0" collapsed="false">
      <c r="A12" s="4" t="s">
        <v>116</v>
      </c>
      <c r="B12" s="8" t="n">
        <f aca="false">Componentes!$D$22</f>
        <v>2978</v>
      </c>
    </row>
    <row r="13" customFormat="false" ht="15" hidden="false" customHeight="false" outlineLevel="0" collapsed="false">
      <c r="A13" s="22" t="s">
        <v>117</v>
      </c>
      <c r="B13" s="23" t="n">
        <f aca="false">B11-B12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3" t="s">
        <v>120</v>
      </c>
      <c r="B4" s="3" t="s">
        <v>121</v>
      </c>
      <c r="C4" s="3" t="s">
        <v>23</v>
      </c>
      <c r="D4" s="3" t="s">
        <v>3</v>
      </c>
    </row>
    <row r="5" customFormat="false" ht="15" hidden="false" customHeight="false" outlineLevel="0" collapsed="false">
      <c r="A5" s="4" t="s">
        <v>122</v>
      </c>
      <c r="B5" s="4" t="s">
        <v>123</v>
      </c>
      <c r="C5" s="11" t="n">
        <v>0.1</v>
      </c>
      <c r="D5" s="9" t="n">
        <f aca="false">C5*Componentes!$F$22</f>
        <v>48248</v>
      </c>
    </row>
    <row r="6" customFormat="false" ht="15" hidden="false" customHeight="false" outlineLevel="0" collapsed="false">
      <c r="A6" s="4" t="s">
        <v>124</v>
      </c>
      <c r="B6" s="4" t="s">
        <v>125</v>
      </c>
      <c r="C6" s="11" t="n">
        <v>0.15</v>
      </c>
      <c r="D6" s="9" t="n">
        <f aca="false">C6*Componentes!$F$22</f>
        <v>72372</v>
      </c>
    </row>
    <row r="7" customFormat="false" ht="15" hidden="false" customHeight="false" outlineLevel="0" collapsed="false">
      <c r="A7" s="4" t="s">
        <v>126</v>
      </c>
      <c r="B7" s="4" t="s">
        <v>127</v>
      </c>
      <c r="C7" s="11" t="n">
        <v>0.2</v>
      </c>
      <c r="D7" s="9" t="n">
        <f aca="false">C7*Componentes!$F$22</f>
        <v>96496</v>
      </c>
    </row>
    <row r="8" customFormat="false" ht="15" hidden="false" customHeight="false" outlineLevel="0" collapsed="false">
      <c r="A8" s="4" t="s">
        <v>128</v>
      </c>
      <c r="B8" s="4" t="s">
        <v>129</v>
      </c>
      <c r="C8" s="11" t="n">
        <v>0.2</v>
      </c>
      <c r="D8" s="9" t="n">
        <f aca="false">C8*Componentes!$F$22</f>
        <v>96496</v>
      </c>
    </row>
    <row r="9" customFormat="false" ht="15" hidden="false" customHeight="false" outlineLevel="0" collapsed="false">
      <c r="A9" s="4" t="s">
        <v>130</v>
      </c>
      <c r="B9" s="4" t="s">
        <v>131</v>
      </c>
      <c r="C9" s="11" t="n">
        <v>0.2</v>
      </c>
      <c r="D9" s="9" t="n">
        <f aca="false">C9*Componentes!$F$22</f>
        <v>96496</v>
      </c>
    </row>
    <row r="10" customFormat="false" ht="15" hidden="false" customHeight="false" outlineLevel="0" collapsed="false">
      <c r="A10" s="4" t="s">
        <v>132</v>
      </c>
      <c r="B10" s="4" t="s">
        <v>133</v>
      </c>
      <c r="C10" s="11" t="n">
        <v>0.15</v>
      </c>
      <c r="D10" s="9" t="n">
        <f aca="false">C10*Componentes!$F$22</f>
        <v>72372</v>
      </c>
    </row>
    <row r="11" customFormat="false" ht="15" hidden="false" customHeight="false" outlineLevel="0" collapsed="false">
      <c r="A11" s="14" t="s">
        <v>134</v>
      </c>
      <c r="B11" s="15"/>
      <c r="C11" s="21" t="n">
        <f aca="false">SUM(C5:C10)</f>
        <v>1</v>
      </c>
      <c r="D11" s="16" t="n">
        <f aca="false">SUM(D5:D10)</f>
        <v>482480</v>
      </c>
    </row>
    <row r="13" customFormat="false" ht="15" hidden="false" customHeight="false" outlineLevel="0" collapsed="false">
      <c r="A13" s="4" t="s">
        <v>135</v>
      </c>
      <c r="D13" s="5" t="n">
        <f aca="false">Componentes!$E$28</f>
        <v>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15" hidden="false" customHeight="false" outlineLevel="0" collapsed="false">
      <c r="A4" s="3" t="s">
        <v>138</v>
      </c>
      <c r="B4" s="3" t="s">
        <v>43</v>
      </c>
      <c r="C4" s="3" t="s">
        <v>107</v>
      </c>
      <c r="D4" s="3" t="s">
        <v>139</v>
      </c>
      <c r="E4" s="3" t="s">
        <v>3</v>
      </c>
      <c r="F4" s="3" t="s">
        <v>140</v>
      </c>
    </row>
    <row r="5" customFormat="false" ht="15" hidden="false" customHeight="false" outlineLevel="0" collapsed="false">
      <c r="A5" s="4" t="s">
        <v>141</v>
      </c>
      <c r="B5" s="4" t="s">
        <v>142</v>
      </c>
      <c r="C5" s="12" t="n">
        <v>160</v>
      </c>
      <c r="D5" s="18" t="n">
        <v>0</v>
      </c>
      <c r="E5" s="9" t="n">
        <f aca="false">(C5*Premissas!$B$5+D5)*(1+Premissas!$B$12)</f>
        <v>25600</v>
      </c>
      <c r="F5" s="4" t="s">
        <v>143</v>
      </c>
    </row>
    <row r="6" customFormat="false" ht="15" hidden="false" customHeight="false" outlineLevel="0" collapsed="false">
      <c r="A6" s="4" t="s">
        <v>144</v>
      </c>
      <c r="B6" s="4" t="s">
        <v>145</v>
      </c>
      <c r="C6" s="12" t="n">
        <v>80</v>
      </c>
      <c r="D6" s="18" t="n">
        <v>0</v>
      </c>
      <c r="E6" s="9" t="n">
        <f aca="false">(C6*Premissas!$B$5+D6)*(1+Premissas!$B$12)</f>
        <v>12800</v>
      </c>
      <c r="F6" s="4" t="s">
        <v>146</v>
      </c>
    </row>
    <row r="7" customFormat="false" ht="15" hidden="false" customHeight="false" outlineLevel="0" collapsed="false">
      <c r="A7" s="4" t="s">
        <v>147</v>
      </c>
      <c r="B7" s="4" t="s">
        <v>148</v>
      </c>
      <c r="C7" s="12" t="n">
        <v>16</v>
      </c>
      <c r="D7" s="18" t="n">
        <v>20000</v>
      </c>
      <c r="E7" s="9" t="n">
        <f aca="false">(C7*Premissas!$B$5+D7)*(1+Premissas!$B$12)</f>
        <v>22560</v>
      </c>
      <c r="F7" s="4" t="s">
        <v>143</v>
      </c>
    </row>
    <row r="8" customFormat="false" ht="15" hidden="false" customHeight="false" outlineLevel="0" collapsed="false">
      <c r="A8" s="4" t="s">
        <v>149</v>
      </c>
      <c r="B8" s="4" t="s">
        <v>150</v>
      </c>
      <c r="C8" s="12" t="n">
        <v>80</v>
      </c>
      <c r="D8" s="18" t="n">
        <v>0</v>
      </c>
      <c r="E8" s="9" t="n">
        <f aca="false">(C8*Premissas!$B$5+D8)*(1+Premissas!$B$12)</f>
        <v>12800</v>
      </c>
      <c r="F8" s="4" t="s">
        <v>151</v>
      </c>
    </row>
    <row r="9" customFormat="false" ht="15" hidden="false" customHeight="false" outlineLevel="0" collapsed="false">
      <c r="A9" s="4" t="s">
        <v>152</v>
      </c>
      <c r="B9" s="4" t="s">
        <v>153</v>
      </c>
      <c r="C9" s="12" t="n">
        <v>0</v>
      </c>
      <c r="D9" s="18" t="n">
        <v>0</v>
      </c>
      <c r="E9" s="9" t="n">
        <f aca="false">(C9*Premissas!$B$5+D9)*(1+Premissas!$B$12)</f>
        <v>0</v>
      </c>
      <c r="F9" s="4" t="s">
        <v>154</v>
      </c>
    </row>
    <row r="10" customFormat="false" ht="15" hidden="false" customHeight="false" outlineLevel="0" collapsed="false">
      <c r="A10" s="4" t="s">
        <v>155</v>
      </c>
      <c r="B10" s="4" t="s">
        <v>156</v>
      </c>
      <c r="C10" s="12" t="n">
        <v>60</v>
      </c>
      <c r="D10" s="18" t="n">
        <v>0</v>
      </c>
      <c r="E10" s="9" t="n">
        <f aca="false">(C10*Premissas!$B$5+D10)*(1+Premissas!$B$12)</f>
        <v>9600</v>
      </c>
      <c r="F10" s="4" t="s">
        <v>143</v>
      </c>
    </row>
    <row r="11" customFormat="false" ht="15" hidden="false" customHeight="false" outlineLevel="0" collapsed="false">
      <c r="A11" s="4" t="s">
        <v>157</v>
      </c>
      <c r="B11" s="4" t="s">
        <v>158</v>
      </c>
      <c r="C11" s="12" t="n">
        <v>160</v>
      </c>
      <c r="D11" s="18" t="n">
        <v>0</v>
      </c>
      <c r="E11" s="9" t="n">
        <f aca="false">(C11*Premissas!$B$5+D11)*(1+Premissas!$B$12)</f>
        <v>25600</v>
      </c>
      <c r="F11" s="4" t="s">
        <v>143</v>
      </c>
    </row>
    <row r="12" customFormat="false" ht="15" hidden="false" customHeight="false" outlineLevel="0" collapsed="false">
      <c r="A12" s="4" t="s">
        <v>159</v>
      </c>
      <c r="B12" s="4" t="s">
        <v>160</v>
      </c>
      <c r="C12" s="12" t="n">
        <v>6</v>
      </c>
      <c r="D12" s="18" t="n">
        <v>0</v>
      </c>
      <c r="E12" s="9" t="n">
        <f aca="false">(C12*Premissas!$B$5+D12)*(1+Premissas!$B$12)</f>
        <v>960</v>
      </c>
      <c r="F12" s="4" t="s">
        <v>143</v>
      </c>
    </row>
    <row r="13" customFormat="false" ht="15" hidden="false" customHeight="false" outlineLevel="0" collapsed="false">
      <c r="A13" s="4" t="s">
        <v>161</v>
      </c>
      <c r="B13" s="4" t="s">
        <v>162</v>
      </c>
      <c r="C13" s="12" t="n">
        <v>0</v>
      </c>
      <c r="D13" s="18" t="n">
        <v>0</v>
      </c>
      <c r="E13" s="9" t="n">
        <f aca="false">(C13*Premissas!$B$5+D13)*(1+Premissas!$B$12)</f>
        <v>0</v>
      </c>
      <c r="F13" s="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2026-09-25T14:37:57Z</dcterms:created>
  <dc:creator>openpyxl</dc:creator>
  <dc:description/>
  <dc:language>en-US</dc:language>
  <cp:lastModifiedBy/>
  <dcterms:modified xsi:type="dcterms:W3CDTF">2026-09-25T14:37:57Z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